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öy Özeti" sheetId="1" state="visible" r:id="rId1"/>
    <sheet xmlns:r="http://schemas.openxmlformats.org/officeDocument/2006/relationships" name="Fon Pozisyonları" sheetId="2" state="visible" r:id="rId2"/>
    <sheet xmlns:r="http://schemas.openxmlformats.org/officeDocument/2006/relationships" name="Valör ve Risk Matri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₺#,##0.00"/>
    <numFmt numFmtId="165" formatCode="+0.00%;-0.00%;0.00%"/>
    <numFmt numFmtId="166" formatCode="₺#,##0.000000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9"/>
    </font>
    <font>
      <name val="Segoe UI"/>
      <b val="1"/>
      <color rgb="0064748B"/>
      <sz val="8"/>
    </font>
    <font>
      <name val="Segoe UI"/>
      <b val="1"/>
      <color rgb="000F172A"/>
      <sz val="10"/>
    </font>
    <font>
      <name val="Segoe UI"/>
      <b val="1"/>
      <color rgb="00047857"/>
      <sz val="10"/>
    </font>
    <font>
      <name val="Segoe UI"/>
      <b val="1"/>
      <color rgb="00B45309"/>
      <sz val="10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Consolas"/>
      <b val="1"/>
      <color rgb="004338CA"/>
      <sz val="10"/>
    </font>
    <font>
      <name val="Segoe UI"/>
      <color rgb="001E293B"/>
      <sz val="10"/>
    </font>
    <font>
      <name val="Segoe UI"/>
      <b val="1"/>
      <color rgb="00B91C1C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EF2FF"/>
        <bgColor rgb="00EEF2FF"/>
      </patternFill>
    </fill>
    <fill>
      <patternFill patternType="solid">
        <fgColor rgb="00F8FAFC"/>
        <bgColor rgb="00F8FAFC"/>
      </patternFill>
    </fill>
    <fill>
      <patternFill patternType="solid">
        <fgColor rgb="00FFFBEB"/>
        <bgColor rgb="00FFFBEB"/>
      </patternFill>
    </fill>
    <fill>
      <patternFill patternType="solid">
        <fgColor rgb="001E293B"/>
        <bgColor rgb="001E293B"/>
      </patternFill>
    </fill>
    <fill>
      <patternFill patternType="solid">
        <fgColor rgb="004F46E5"/>
        <bgColor rgb="004F46E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pivotButton="0" quotePrefix="0" xfId="0"/>
    <xf numFmtId="0" fontId="10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0" fontId="10" fillId="0" borderId="1" applyAlignment="1" pivotButton="0" quotePrefix="0" xfId="0">
      <alignment horizontal="right" vertical="center"/>
    </xf>
    <xf numFmtId="0" fontId="4" fillId="3" borderId="2" pivotButton="0" quotePrefix="0" xfId="0"/>
    <xf numFmtId="0" fontId="0" fillId="3" borderId="2" pivotButton="0" quotePrefix="0" xfId="0"/>
    <xf numFmtId="164" fontId="4" fillId="3" borderId="2" pivotButton="0" quotePrefix="0" xfId="0"/>
    <xf numFmtId="0" fontId="8" fillId="7" borderId="1" applyAlignment="1" pivotButton="0" quotePrefix="0" xfId="0">
      <alignment horizontal="center" vertical="center"/>
    </xf>
    <xf numFmtId="0" fontId="4" fillId="0" borderId="1" pivotButton="0" quotePrefix="0" xfId="0"/>
    <xf numFmtId="164" fontId="11" fillId="0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 wrapText="1"/>
    </xf>
    <xf numFmtId="0" fontId="9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64" fontId="4" fillId="0" borderId="1" pivotButton="0" quotePrefix="0" xfId="0"/>
    <xf numFmtId="164" fontId="0" fillId="0" borderId="1" pivotButton="0" quotePrefix="0" xfId="0"/>
    <xf numFmtId="165" fontId="4" fillId="0" borderId="1" pivotButton="0" quotePrefix="0" xfId="0"/>
    <xf numFmtId="10" fontId="4" fillId="0" borderId="1" pivotButton="0" quotePrefix="0" xfId="0"/>
    <xf numFmtId="165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10" fontId="0" fillId="0" borderId="1" pivotButton="0" quotePrefix="0" xfId="0"/>
    <xf numFmtId="165" fontId="4" fillId="3" borderId="2" pivotButton="0" quotePrefix="0" xfId="0"/>
    <xf numFmtId="0" fontId="8" fillId="7" borderId="1" applyAlignment="1" pivotButton="0" quotePrefix="0" xfId="0">
      <alignment horizontal="center" vertical="center" wrapText="1"/>
    </xf>
    <xf numFmtId="10" fontId="10" fillId="0" borderId="1" pivotButton="0" quotePrefix="0" xfId="0"/>
    <xf numFmtId="3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26" customWidth="1" min="3" max="3"/>
    <col width="16" customWidth="1" min="4" max="4"/>
    <col width="20" customWidth="1" min="5" max="5"/>
    <col width="20" customWidth="1" min="6" max="6"/>
    <col width="35" customWidth="1" min="7" max="7"/>
  </cols>
  <sheetData>
    <row r="1">
      <c r="A1" s="1" t="inlineStr">
        <is>
          <t>YATIRIM 101 – DENGELİ VE BÜYÜME+ PORTFÖY MODELİ (₺5.815,50)</t>
        </is>
      </c>
    </row>
    <row r="2"/>
    <row r="3">
      <c r="A3" s="2" t="inlineStr">
        <is>
          <t>Strateji: Dengeli ve Büyüme+ | Kaynak: Midas &amp; TEFAS Doğrulamalı</t>
        </is>
      </c>
    </row>
    <row r="4"/>
    <row r="5">
      <c r="A5" s="3" t="inlineStr">
        <is>
          <t>Toplam Portföy Değeri</t>
        </is>
      </c>
      <c r="B5" s="4" t="n"/>
      <c r="C5" s="5" t="inlineStr">
        <is>
          <t>Toplam Yatırım Maliyeti</t>
        </is>
      </c>
      <c r="D5" s="4" t="n"/>
      <c r="E5" s="3" t="inlineStr">
        <is>
          <t>Toplam Net Kar/Zarar</t>
        </is>
      </c>
      <c r="F5" s="3" t="inlineStr">
        <is>
          <t>Toplam Getiri (%)</t>
        </is>
      </c>
      <c r="G5" s="6" t="inlineStr">
        <is>
          <t>Ağırlıklı Risk Skoru</t>
        </is>
      </c>
    </row>
    <row r="6">
      <c r="A6" s="7">
        <f>'Fon Pozisyonları'!G12+'Fon Pozisyonları'!G13</f>
        <v/>
      </c>
      <c r="B6" s="4" t="n"/>
      <c r="C6" s="8">
        <f>'Fon Pozisyonları'!I12+'Fon Pozisyonları'!I13</f>
        <v/>
      </c>
      <c r="D6" s="4" t="n"/>
      <c r="E6" s="9">
        <f>'Fon Pozisyonları'!J12</f>
        <v/>
      </c>
      <c r="F6" s="10">
        <f>'Fon Pozisyonları'!K12</f>
        <v/>
      </c>
      <c r="G6" s="11" t="inlineStr">
        <is>
          <t>3.2 / 7 (Dengeli)</t>
        </is>
      </c>
    </row>
    <row r="7"/>
    <row r="8">
      <c r="A8" s="12" t="inlineStr">
        <is>
          <t>GÜNCEL VARLIK DAĞILIMI VE POZİSYON ÖZETİ</t>
        </is>
      </c>
    </row>
    <row r="9">
      <c r="A9" s="13" t="inlineStr">
        <is>
          <t>Fon Kodu</t>
        </is>
      </c>
      <c r="B9" s="13" t="inlineStr">
        <is>
          <t>Fon Adı</t>
        </is>
      </c>
      <c r="C9" s="13" t="inlineStr">
        <is>
          <t>Varlık Sınıfı</t>
        </is>
      </c>
      <c r="D9" s="13" t="inlineStr">
        <is>
          <t>Adet</t>
        </is>
      </c>
      <c r="E9" s="13" t="inlineStr">
        <is>
          <t>Güncel Fiyat</t>
        </is>
      </c>
      <c r="F9" s="13" t="inlineStr">
        <is>
          <t>Piyasa Değeri</t>
        </is>
      </c>
      <c r="G9" s="13" t="inlineStr">
        <is>
          <t>Portföy Payı</t>
        </is>
      </c>
    </row>
    <row r="10">
      <c r="A10" s="14" t="inlineStr">
        <is>
          <t>AIS</t>
        </is>
      </c>
      <c r="B10" s="15" t="inlineStr">
        <is>
          <t>Ak Portföy Para Piyasası Katılım</t>
        </is>
      </c>
      <c r="C10" s="16" t="inlineStr">
        <is>
          <t>Katılım Likit Havuzu</t>
        </is>
      </c>
      <c r="D10" s="17" t="n">
        <v>24576</v>
      </c>
      <c r="E10" s="18">
        <f>'Fon Pozisyonları'!F5</f>
        <v/>
      </c>
      <c r="F10" s="19">
        <f>'Fon Pozisyonları'!G5</f>
        <v/>
      </c>
      <c r="G10" s="20">
        <f>'Fon Pozisyonları'!M5</f>
        <v/>
      </c>
    </row>
    <row r="11">
      <c r="A11" s="14" t="inlineStr">
        <is>
          <t>AFT</t>
        </is>
      </c>
      <c r="B11" s="15" t="inlineStr">
        <is>
          <t>Ak Portföy Yeni Teknolojiler Yabancı Hisse</t>
        </is>
      </c>
      <c r="C11" s="16" t="inlineStr">
        <is>
          <t>Global Teknoloji Hisse</t>
        </is>
      </c>
      <c r="D11" s="17" t="n">
        <v>930</v>
      </c>
      <c r="E11" s="18">
        <f>'Fon Pozisyonları'!F6</f>
        <v/>
      </c>
      <c r="F11" s="19">
        <f>'Fon Pozisyonları'!G6</f>
        <v/>
      </c>
      <c r="G11" s="20">
        <f>'Fon Pozisyonları'!M6</f>
        <v/>
      </c>
    </row>
    <row r="12">
      <c r="A12" s="14" t="inlineStr">
        <is>
          <t>IJC</t>
        </is>
      </c>
      <c r="B12" s="15" t="inlineStr">
        <is>
          <t>İş Portföy Yarı İletken Teknolojileri Değişken</t>
        </is>
      </c>
      <c r="C12" s="16" t="inlineStr">
        <is>
          <t>Tematik Teknoloji (Çip)</t>
        </is>
      </c>
      <c r="D12" s="17" t="n">
        <v>47</v>
      </c>
      <c r="E12" s="18">
        <f>'Fon Pozisyonları'!F7</f>
        <v/>
      </c>
      <c r="F12" s="19">
        <f>'Fon Pozisyonları'!G7</f>
        <v/>
      </c>
      <c r="G12" s="20">
        <f>'Fon Pozisyonları'!M7</f>
        <v/>
      </c>
    </row>
    <row r="13">
      <c r="A13" s="14" t="inlineStr">
        <is>
          <t>KZL</t>
        </is>
      </c>
      <c r="B13" s="15" t="inlineStr">
        <is>
          <t>Kuveyt Türk Portföy Altın Katılım</t>
        </is>
      </c>
      <c r="C13" s="16" t="inlineStr">
        <is>
          <t>Altın / Emtia Sigortası</t>
        </is>
      </c>
      <c r="D13" s="17" t="n">
        <v>26</v>
      </c>
      <c r="E13" s="18">
        <f>'Fon Pozisyonları'!F8</f>
        <v/>
      </c>
      <c r="F13" s="19">
        <f>'Fon Pozisyonları'!G8</f>
        <v/>
      </c>
      <c r="G13" s="20">
        <f>'Fon Pozisyonları'!M8</f>
        <v/>
      </c>
    </row>
    <row r="14">
      <c r="A14" s="14" t="inlineStr">
        <is>
          <t>MAC</t>
        </is>
      </c>
      <c r="B14" s="15" t="inlineStr">
        <is>
          <t>Marmara Capital Portföy Hisse (TL)</t>
        </is>
      </c>
      <c r="C14" s="16" t="inlineStr">
        <is>
          <t>Yerli Hisse (BIST Alfa)</t>
        </is>
      </c>
      <c r="D14" s="17" t="n">
        <v>646</v>
      </c>
      <c r="E14" s="18">
        <f>'Fon Pozisyonları'!F9</f>
        <v/>
      </c>
      <c r="F14" s="19">
        <f>'Fon Pozisyonları'!G9</f>
        <v/>
      </c>
      <c r="G14" s="20">
        <f>'Fon Pozisyonları'!M9</f>
        <v/>
      </c>
    </row>
    <row r="15">
      <c r="A15" s="14" t="inlineStr">
        <is>
          <t>TP2</t>
        </is>
      </c>
      <c r="B15" s="15" t="inlineStr">
        <is>
          <t>Tera Portföy Para Piyasası (TL)</t>
        </is>
      </c>
      <c r="C15" s="16" t="inlineStr">
        <is>
          <t>Para Piyasası / Likit</t>
        </is>
      </c>
      <c r="D15" s="17" t="n">
        <v>102</v>
      </c>
      <c r="E15" s="18">
        <f>'Fon Pozisyonları'!F10</f>
        <v/>
      </c>
      <c r="F15" s="19">
        <f>'Fon Pozisyonları'!G10</f>
        <v/>
      </c>
      <c r="G15" s="20">
        <f>'Fon Pozisyonları'!M10</f>
        <v/>
      </c>
    </row>
    <row r="16">
      <c r="A16" s="14" t="inlineStr">
        <is>
          <t>TL</t>
        </is>
      </c>
      <c r="B16" s="15" t="inlineStr">
        <is>
          <t>Midas Serbest TL Bakiyesi</t>
        </is>
      </c>
      <c r="C16" s="16" t="inlineStr">
        <is>
          <t>Nakit Rezervi</t>
        </is>
      </c>
      <c r="D16" s="17" t="n">
        <v>1</v>
      </c>
      <c r="E16" s="18" t="n">
        <v>1</v>
      </c>
      <c r="F16" s="19" t="n">
        <v>29.01</v>
      </c>
      <c r="G16" s="20">
        <f>G16/$G$17</f>
        <v/>
      </c>
    </row>
    <row r="17">
      <c r="A17" s="21" t="inlineStr">
        <is>
          <t>GENEL TOPLAM</t>
        </is>
      </c>
      <c r="B17" s="22" t="n"/>
      <c r="C17" s="22" t="n"/>
      <c r="D17" s="22" t="n"/>
      <c r="E17" s="22" t="n"/>
      <c r="F17" s="22" t="n"/>
      <c r="G17" s="23">
        <f>SUM(G10:G16)</f>
        <v/>
      </c>
    </row>
    <row r="18"/>
    <row r="19">
      <c r="A19" s="12" t="inlineStr">
        <is>
          <t>⏳ BEKLEYEN İŞLEMLER VE TALİMATLAR (MİDAS)</t>
        </is>
      </c>
    </row>
    <row r="20">
      <c r="A20" s="24" t="inlineStr">
        <is>
          <t>Emir Adı</t>
        </is>
      </c>
      <c r="B20" s="24" t="inlineStr">
        <is>
          <t>İşlem Türü</t>
        </is>
      </c>
      <c r="C20" s="24" t="inlineStr">
        <is>
          <t>İlgili Fon</t>
        </is>
      </c>
      <c r="D20" s="24" t="inlineStr">
        <is>
          <t>Tutar (₺)</t>
        </is>
      </c>
      <c r="E20" s="24" t="inlineStr">
        <is>
          <t>Durum</t>
        </is>
      </c>
      <c r="F20" s="24" t="inlineStr">
        <is>
          <t>Valör Süresi</t>
        </is>
      </c>
      <c r="G20" s="24" t="inlineStr">
        <is>
          <t>Açıklama / Hedef</t>
        </is>
      </c>
    </row>
    <row r="21">
      <c r="A21" s="25" t="inlineStr">
        <is>
          <t>TP2 fon satış</t>
        </is>
      </c>
      <c r="B21" s="16" t="inlineStr">
        <is>
          <t>Satış Emri</t>
        </is>
      </c>
      <c r="C21" s="16" t="inlineStr">
        <is>
          <t>TP2</t>
        </is>
      </c>
      <c r="D21" s="26" t="n">
        <v>219.39</v>
      </c>
      <c r="E21" s="27" t="inlineStr">
        <is>
          <t>Bekliyor</t>
        </is>
      </c>
      <c r="F21" s="16" t="inlineStr">
        <is>
          <t>T+0 (Aynı Gün)</t>
        </is>
      </c>
      <c r="G21" s="15" t="inlineStr">
        <is>
          <t>Tera PPF satış tutarı hesaba serbest nakit olarak aktarılacaktır.</t>
        </is>
      </c>
    </row>
    <row r="22">
      <c r="A22" s="25" t="inlineStr">
        <is>
          <t>AIS fon alış</t>
        </is>
      </c>
      <c r="B22" s="16" t="inlineStr">
        <is>
          <t>Alış Emri</t>
        </is>
      </c>
      <c r="C22" s="16" t="inlineStr">
        <is>
          <t>AIS</t>
        </is>
      </c>
      <c r="D22" s="28" t="n">
        <v>29.01</v>
      </c>
      <c r="E22" s="27" t="inlineStr">
        <is>
          <t>Bekliyor</t>
        </is>
      </c>
      <c r="F22" s="16" t="inlineStr">
        <is>
          <t>T+0 (Aynı Gün)</t>
        </is>
      </c>
      <c r="G22" s="15" t="inlineStr">
        <is>
          <t>Ak Portföy Katılım PPF fonuna ₺29,01 ekleme yapılarak bakiye ₺2.649,52 olacaktır.</t>
        </is>
      </c>
    </row>
  </sheetData>
  <mergeCells count="11">
    <mergeCell ref="C6:D6"/>
    <mergeCell ref="A1:G2"/>
    <mergeCell ref="C5:D5"/>
    <mergeCell ref="A5:B5"/>
    <mergeCell ref="E6"/>
    <mergeCell ref="F6"/>
    <mergeCell ref="F5"/>
    <mergeCell ref="A6:B6"/>
    <mergeCell ref="G6"/>
    <mergeCell ref="G5"/>
    <mergeCell ref="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4" customWidth="1" min="3" max="3"/>
    <col width="26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20" customWidth="1" min="10" max="10"/>
    <col width="18" customWidth="1" min="11" max="11"/>
    <col width="18" customWidth="1" min="12" max="12"/>
    <col width="18" customWidth="1" min="13" max="13"/>
    <col width="20" customWidth="1" min="14" max="14"/>
  </cols>
  <sheetData>
    <row r="1">
      <c r="A1" s="1" t="inlineStr">
        <is>
          <t>GÜNCEL FON POZİSYONLARI, MALİYETLER VE GETİRİLER</t>
        </is>
      </c>
    </row>
    <row r="2"/>
    <row r="3"/>
    <row r="4">
      <c r="A4" s="29" t="inlineStr">
        <is>
          <t>Fon Kodu</t>
        </is>
      </c>
      <c r="B4" s="29" t="inlineStr">
        <is>
          <t>Fon Tam Adı</t>
        </is>
      </c>
      <c r="C4" s="29" t="inlineStr">
        <is>
          <t>Kategori</t>
        </is>
      </c>
      <c r="D4" s="29" t="inlineStr">
        <is>
          <t>Varlık Sınıfı</t>
        </is>
      </c>
      <c r="E4" s="29" t="inlineStr">
        <is>
          <t>Adet / Pay</t>
        </is>
      </c>
      <c r="F4" s="29" t="inlineStr">
        <is>
          <t>Güncel Fiyat (₺)</t>
        </is>
      </c>
      <c r="G4" s="29" t="inlineStr">
        <is>
          <t>Piyasa Değeri (₺)</t>
        </is>
      </c>
      <c r="H4" s="29" t="inlineStr">
        <is>
          <t>Ort. Maliyet (₺)</t>
        </is>
      </c>
      <c r="I4" s="29" t="inlineStr">
        <is>
          <t>Toplam Maliyet (₺)</t>
        </is>
      </c>
      <c r="J4" s="29" t="inlineStr">
        <is>
          <t>Toplam Kar/Zarar (₺)</t>
        </is>
      </c>
      <c r="K4" s="29" t="inlineStr">
        <is>
          <t>Toplam Getiri (%)</t>
        </is>
      </c>
      <c r="L4" s="29" t="inlineStr">
        <is>
          <t>Portföy Payı (%)</t>
        </is>
      </c>
      <c r="M4" s="29" t="inlineStr">
        <is>
          <t>1Y Getiri (%)</t>
        </is>
      </c>
      <c r="N4" s="29" t="inlineStr">
        <is>
          <t>Vergi Durumu</t>
        </is>
      </c>
    </row>
    <row r="5">
      <c r="A5" s="30" t="inlineStr">
        <is>
          <t>AIS</t>
        </is>
      </c>
      <c r="B5" s="15" t="inlineStr">
        <is>
          <t>Ak Portföy Para Piyasası Katılım Fonu</t>
        </is>
      </c>
      <c r="C5" s="15" t="inlineStr">
        <is>
          <t>Katılım Para Piyasası</t>
        </is>
      </c>
      <c r="D5" s="15" t="inlineStr">
        <is>
          <t>Katılım Likit</t>
        </is>
      </c>
      <c r="E5" s="31" t="n">
        <v>24576</v>
      </c>
      <c r="F5" s="32" t="n">
        <v>0.106629</v>
      </c>
      <c r="G5" s="33">
        <f>E5*F5</f>
        <v/>
      </c>
      <c r="H5" s="32" t="n">
        <v>0.103805</v>
      </c>
      <c r="I5" s="34">
        <f>E5*H5</f>
        <v/>
      </c>
      <c r="J5" s="33">
        <f>G5-I5</f>
        <v/>
      </c>
      <c r="K5" s="35">
        <f>IF(I5&gt;0, J5/I5, 0)</f>
        <v/>
      </c>
      <c r="L5" s="36">
        <f>IF($G$12&gt;0, G5/($G$12+$G$13), 0)</f>
        <v/>
      </c>
      <c r="M5" s="37" t="n">
        <v>0.518</v>
      </c>
      <c r="N5" s="15" t="inlineStr">
        <is>
          <t>%10 Stopaj</t>
        </is>
      </c>
    </row>
    <row r="6">
      <c r="A6" s="30" t="inlineStr">
        <is>
          <t>AFT</t>
        </is>
      </c>
      <c r="B6" s="15" t="inlineStr">
        <is>
          <t>Ak Portföy Yeni Teknolojiler Yabancı Hisse</t>
        </is>
      </c>
      <c r="C6" s="15" t="inlineStr">
        <is>
          <t>Yabancı Hisse</t>
        </is>
      </c>
      <c r="D6" s="15" t="inlineStr">
        <is>
          <t>Global Teknoloji</t>
        </is>
      </c>
      <c r="E6" s="31" t="n">
        <v>930</v>
      </c>
      <c r="F6" s="32" t="n">
        <v>1.005931</v>
      </c>
      <c r="G6" s="33">
        <f>E6*F6</f>
        <v/>
      </c>
      <c r="H6" s="32" t="n">
        <v>1.048215</v>
      </c>
      <c r="I6" s="34">
        <f>E6*H6</f>
        <v/>
      </c>
      <c r="J6" s="33">
        <f>G6-I6</f>
        <v/>
      </c>
      <c r="K6" s="35">
        <f>IF(I6&gt;0, J6/I6, 0)</f>
        <v/>
      </c>
      <c r="L6" s="36">
        <f>IF($G$12&gt;0, G6/($G$12+$G$13), 0)</f>
        <v/>
      </c>
      <c r="M6" s="37" t="n">
        <v>0.5242</v>
      </c>
      <c r="N6" s="15" t="inlineStr">
        <is>
          <t>%10 Stopaj</t>
        </is>
      </c>
    </row>
    <row r="7">
      <c r="A7" s="30" t="inlineStr">
        <is>
          <t>IJC</t>
        </is>
      </c>
      <c r="B7" s="15" t="inlineStr">
        <is>
          <t>İş Portföy Yarı İletken Teknolojileri Değişken</t>
        </is>
      </c>
      <c r="C7" s="15" t="inlineStr">
        <is>
          <t>Değişken Fon</t>
        </is>
      </c>
      <c r="D7" s="15" t="inlineStr">
        <is>
          <t>Yarı İletken Teknoloji</t>
        </is>
      </c>
      <c r="E7" s="31" t="n">
        <v>47</v>
      </c>
      <c r="F7" s="32" t="n">
        <v>16.864629</v>
      </c>
      <c r="G7" s="33">
        <f>E7*F7</f>
        <v/>
      </c>
      <c r="H7" s="32" t="n">
        <v>17.494681</v>
      </c>
      <c r="I7" s="34">
        <f>E7*H7</f>
        <v/>
      </c>
      <c r="J7" s="33">
        <f>G7-I7</f>
        <v/>
      </c>
      <c r="K7" s="35">
        <f>IF(I7&gt;0, J7/I7, 0)</f>
        <v/>
      </c>
      <c r="L7" s="36">
        <f>IF($G$12&gt;0, G7/($G$12+$G$13), 0)</f>
        <v/>
      </c>
      <c r="M7" s="37" t="n">
        <v>0.9791</v>
      </c>
      <c r="N7" s="15" t="inlineStr">
        <is>
          <t>%10 Stopaj</t>
        </is>
      </c>
    </row>
    <row r="8">
      <c r="A8" s="30" t="inlineStr">
        <is>
          <t>KZL</t>
        </is>
      </c>
      <c r="B8" s="15" t="inlineStr">
        <is>
          <t>Kuveyt Türk Portföy Altın Katılım Fonu</t>
        </is>
      </c>
      <c r="C8" s="15" t="inlineStr">
        <is>
          <t>Katılım Fonu (Altın)</t>
        </is>
      </c>
      <c r="D8" s="15" t="inlineStr">
        <is>
          <t>Altın / Emtia</t>
        </is>
      </c>
      <c r="E8" s="31" t="n">
        <v>26</v>
      </c>
      <c r="F8" s="32" t="n">
        <v>28.013859</v>
      </c>
      <c r="G8" s="33">
        <f>E8*F8</f>
        <v/>
      </c>
      <c r="H8" s="32" t="n">
        <v>27.566154</v>
      </c>
      <c r="I8" s="34">
        <f>E8*H8</f>
        <v/>
      </c>
      <c r="J8" s="33">
        <f>G8-I8</f>
        <v/>
      </c>
      <c r="K8" s="35">
        <f>IF(I8&gt;0, J8/I8, 0)</f>
        <v/>
      </c>
      <c r="L8" s="36">
        <f>IF($G$12&gt;0, G8/($G$12+$G$13), 0)</f>
        <v/>
      </c>
      <c r="M8" s="37" t="n">
        <v>0.5319</v>
      </c>
      <c r="N8" s="15" t="inlineStr">
        <is>
          <t>%10 Stopaj</t>
        </is>
      </c>
    </row>
    <row r="9">
      <c r="A9" s="30" t="inlineStr">
        <is>
          <t>MAC</t>
        </is>
      </c>
      <c r="B9" s="15" t="inlineStr">
        <is>
          <t>Marmara Capital Portföy Hisse Senedi (TL)</t>
        </is>
      </c>
      <c r="C9" s="15" t="inlineStr">
        <is>
          <t>Hisse Yoğun Fon</t>
        </is>
      </c>
      <c r="D9" s="15" t="inlineStr">
        <is>
          <t>Yerli Hisse (BIST)</t>
        </is>
      </c>
      <c r="E9" s="31" t="n">
        <v>646</v>
      </c>
      <c r="F9" s="32" t="n">
        <v>0.758613</v>
      </c>
      <c r="G9" s="33">
        <f>E9*F9</f>
        <v/>
      </c>
      <c r="H9" s="32" t="n">
        <v>0.773065</v>
      </c>
      <c r="I9" s="34">
        <f>E9*H9</f>
        <v/>
      </c>
      <c r="J9" s="33">
        <f>G9-I9</f>
        <v/>
      </c>
      <c r="K9" s="35">
        <f>IF(I9&gt;0, J9/I9, 0)</f>
        <v/>
      </c>
      <c r="L9" s="36">
        <f>IF($G$12&gt;0, G9/($G$12+$G$13), 0)</f>
        <v/>
      </c>
      <c r="M9" s="37" t="n">
        <v>0.784</v>
      </c>
      <c r="N9" s="15" t="inlineStr">
        <is>
          <t>%0 Stopaj Muaf</t>
        </is>
      </c>
    </row>
    <row r="10">
      <c r="A10" s="30" t="inlineStr">
        <is>
          <t>TP2</t>
        </is>
      </c>
      <c r="B10" s="15" t="inlineStr">
        <is>
          <t>Tera Portföy Para Piyasası (TL) Fonu</t>
        </is>
      </c>
      <c r="C10" s="15" t="inlineStr">
        <is>
          <t>Para Piyasası</t>
        </is>
      </c>
      <c r="D10" s="15" t="inlineStr">
        <is>
          <t>Para Piyasası / Likit</t>
        </is>
      </c>
      <c r="E10" s="31" t="n">
        <v>102</v>
      </c>
      <c r="F10" s="32" t="n">
        <v>2.150958</v>
      </c>
      <c r="G10" s="33">
        <f>E10*F10</f>
        <v/>
      </c>
      <c r="H10" s="32" t="n">
        <v>2.145392</v>
      </c>
      <c r="I10" s="34">
        <f>E10*H10</f>
        <v/>
      </c>
      <c r="J10" s="33">
        <f>G10-I10</f>
        <v/>
      </c>
      <c r="K10" s="35">
        <f>IF(I10&gt;0, J10/I10, 0)</f>
        <v/>
      </c>
      <c r="L10" s="36">
        <f>IF($G$12&gt;0, G10/($G$12+$G$13), 0)</f>
        <v/>
      </c>
      <c r="M10" s="37" t="n">
        <v>0.6027</v>
      </c>
      <c r="N10" s="15" t="inlineStr">
        <is>
          <t>%10 Stopaj</t>
        </is>
      </c>
    </row>
    <row r="11"/>
    <row r="12">
      <c r="A12" s="38" t="inlineStr">
        <is>
          <t>FONLAR TOPLAMI</t>
        </is>
      </c>
      <c r="B12" s="39" t="n"/>
      <c r="C12" s="39" t="n"/>
      <c r="D12" s="39" t="n"/>
      <c r="E12" s="39" t="n"/>
      <c r="F12" s="39" t="n"/>
      <c r="G12" s="40">
        <f>SUM(G5:G10)</f>
        <v/>
      </c>
      <c r="H12" s="39" t="n"/>
      <c r="I12" s="40">
        <f>SUM(I5:I10)</f>
        <v/>
      </c>
      <c r="J12" s="40">
        <f>SUM(J5:J10)</f>
        <v/>
      </c>
      <c r="K12" s="41">
        <f>IF(I12&gt;0, J12/I12, 0)</f>
        <v/>
      </c>
      <c r="L12" s="39" t="n"/>
      <c r="M12" s="39" t="n"/>
      <c r="N12" s="39" t="n"/>
    </row>
    <row r="13">
      <c r="A13" s="30" t="inlineStr">
        <is>
          <t>TL NAKİT</t>
        </is>
      </c>
      <c r="B13" s="4" t="inlineStr">
        <is>
          <t>Serbest Midas Bakiyesi</t>
        </is>
      </c>
      <c r="C13" s="4" t="n"/>
      <c r="D13" s="4" t="inlineStr">
        <is>
          <t>Nakit</t>
        </is>
      </c>
      <c r="E13" s="4" t="n">
        <v>1</v>
      </c>
      <c r="F13" s="4" t="n">
        <v>1</v>
      </c>
      <c r="G13" s="34" t="n">
        <v>29.01</v>
      </c>
      <c r="H13" s="4" t="n">
        <v>1</v>
      </c>
      <c r="I13" s="34" t="n">
        <v>29.01</v>
      </c>
      <c r="J13" s="34" t="n">
        <v>0</v>
      </c>
      <c r="K13" s="37" t="n">
        <v>0</v>
      </c>
      <c r="L13" s="42">
        <f>G13/($G$12+$G$13)</f>
        <v/>
      </c>
      <c r="M13" s="4" t="n"/>
      <c r="N13" s="4" t="n"/>
    </row>
    <row r="14">
      <c r="A14" s="21" t="inlineStr">
        <is>
          <t>GENEL TOPLAM</t>
        </is>
      </c>
      <c r="B14" s="22" t="n"/>
      <c r="C14" s="22" t="n"/>
      <c r="D14" s="22" t="n"/>
      <c r="E14" s="22" t="n"/>
      <c r="F14" s="22" t="n"/>
      <c r="G14" s="23">
        <f>G12+G13</f>
        <v/>
      </c>
      <c r="H14" s="22" t="n"/>
      <c r="I14" s="23">
        <f>I12+I13</f>
        <v/>
      </c>
      <c r="J14" s="23">
        <f>J12+J13</f>
        <v/>
      </c>
      <c r="K14" s="43">
        <f>IF(I14&gt;0, J14/I14, 0)</f>
        <v/>
      </c>
      <c r="L14" s="21" t="inlineStr">
        <is>
          <t>100.00%</t>
        </is>
      </c>
      <c r="M14" s="22" t="n"/>
      <c r="N14" s="22" t="n"/>
    </row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9" customWidth="1" min="3" max="3"/>
    <col width="19" customWidth="1" min="4" max="4"/>
    <col width="22" customWidth="1" min="5" max="5"/>
    <col width="23" customWidth="1" min="6" max="6"/>
    <col width="24" customWidth="1" min="7" max="7"/>
    <col width="20" customWidth="1" min="8" max="8"/>
    <col width="21" customWidth="1" min="9" max="9"/>
    <col width="20" customWidth="1" min="10" max="10"/>
  </cols>
  <sheetData>
    <row r="1">
      <c r="A1" s="1" t="inlineStr">
        <is>
          <t>FON VALÖR SÜRELERİ, YÖNETİM ÜCRETLERİ VE RİSK ANALİZİ</t>
        </is>
      </c>
    </row>
    <row r="2"/>
    <row r="3"/>
    <row r="4">
      <c r="A4" s="44" t="inlineStr">
        <is>
          <t>Fon Kodu</t>
        </is>
      </c>
      <c r="B4" s="44" t="inlineStr">
        <is>
          <t>Fon Adı</t>
        </is>
      </c>
      <c r="C4" s="44" t="inlineStr">
        <is>
          <t>Alış Valörü</t>
        </is>
      </c>
      <c r="D4" s="44" t="inlineStr">
        <is>
          <t>Satış Valörü</t>
        </is>
      </c>
      <c r="E4" s="44" t="inlineStr">
        <is>
          <t>Valör Atlama Saati</t>
        </is>
      </c>
      <c r="F4" s="44" t="inlineStr">
        <is>
          <t>Vergilendirme</t>
        </is>
      </c>
      <c r="G4" s="44" t="inlineStr">
        <is>
          <t>Yıl. Yön. Ücreti (%)</t>
        </is>
      </c>
      <c r="H4" s="44" t="inlineStr">
        <is>
          <t>Risk Skoru (1-7)</t>
        </is>
      </c>
      <c r="I4" s="44" t="inlineStr">
        <is>
          <t>Doluluk Oranı (%)</t>
        </is>
      </c>
      <c r="J4" s="44" t="inlineStr">
        <is>
          <t>Yatırımcı Sayısı</t>
        </is>
      </c>
    </row>
    <row r="5">
      <c r="A5" s="14" t="inlineStr">
        <is>
          <t>AIS</t>
        </is>
      </c>
      <c r="B5" s="15" t="inlineStr">
        <is>
          <t>Ak Portföy Para Piyasası Katılım</t>
        </is>
      </c>
      <c r="C5" s="16" t="inlineStr">
        <is>
          <t>T+0 (Aynı Gün)</t>
        </is>
      </c>
      <c r="D5" s="16" t="inlineStr">
        <is>
          <t>T+0 (Aynı Gün)</t>
        </is>
      </c>
      <c r="E5" s="16" t="inlineStr">
        <is>
          <t>13:00</t>
        </is>
      </c>
      <c r="F5" s="16" t="inlineStr">
        <is>
          <t>%10 Stopaj</t>
        </is>
      </c>
      <c r="G5" s="36" t="n">
        <v>0.0039</v>
      </c>
      <c r="H5" s="16" t="inlineStr">
        <is>
          <t>1 (Düşük)</t>
        </is>
      </c>
      <c r="I5" s="45" t="n">
        <v>0.153</v>
      </c>
      <c r="J5" s="46" t="n">
        <v>82400</v>
      </c>
    </row>
    <row r="6">
      <c r="A6" s="14" t="inlineStr">
        <is>
          <t>AFT</t>
        </is>
      </c>
      <c r="B6" s="15" t="inlineStr">
        <is>
          <t>Ak Portföy Yeni Teknolojiler Yabancı Hisse</t>
        </is>
      </c>
      <c r="C6" s="16" t="inlineStr">
        <is>
          <t>T+1 (1 İş Günü)</t>
        </is>
      </c>
      <c r="D6" s="16" t="inlineStr">
        <is>
          <t>T+2 (2 İş Günü)</t>
        </is>
      </c>
      <c r="E6" s="16" t="inlineStr">
        <is>
          <t>13:30</t>
        </is>
      </c>
      <c r="F6" s="16" t="inlineStr">
        <is>
          <t>%10 Stopaj</t>
        </is>
      </c>
      <c r="G6" s="36" t="n">
        <v>0.029</v>
      </c>
      <c r="H6" s="16" t="inlineStr">
        <is>
          <t>6 (Yüksek)</t>
        </is>
      </c>
      <c r="I6" s="45" t="n">
        <v>0.1986</v>
      </c>
      <c r="J6" s="46" t="n">
        <v>137784</v>
      </c>
    </row>
    <row r="7">
      <c r="A7" s="14" t="inlineStr">
        <is>
          <t>IJC</t>
        </is>
      </c>
      <c r="B7" s="15" t="inlineStr">
        <is>
          <t>İş Portföy Yarı İletken Teknolojileri Değişken</t>
        </is>
      </c>
      <c r="C7" s="16" t="inlineStr">
        <is>
          <t>T+1 (1 İş Günü)</t>
        </is>
      </c>
      <c r="D7" s="16" t="inlineStr">
        <is>
          <t>T+3 (3 İş Günü)</t>
        </is>
      </c>
      <c r="E7" s="16" t="inlineStr">
        <is>
          <t>13:30</t>
        </is>
      </c>
      <c r="F7" s="16" t="inlineStr">
        <is>
          <t>%10 Stopaj</t>
        </is>
      </c>
      <c r="G7" s="36" t="n">
        <v>0.025</v>
      </c>
      <c r="H7" s="16" t="inlineStr">
        <is>
          <t>6 (Yüksek)</t>
        </is>
      </c>
      <c r="I7" s="45" t="n">
        <v>0.4609</v>
      </c>
      <c r="J7" s="46" t="n">
        <v>47435</v>
      </c>
    </row>
    <row r="8">
      <c r="A8" s="14" t="inlineStr">
        <is>
          <t>KZL</t>
        </is>
      </c>
      <c r="B8" s="15" t="inlineStr">
        <is>
          <t>Kuveyt Türk Portföy Altın Katılım</t>
        </is>
      </c>
      <c r="C8" s="16" t="inlineStr">
        <is>
          <t>T+1 (1 İş Günü)</t>
        </is>
      </c>
      <c r="D8" s="16" t="inlineStr">
        <is>
          <t>T+1 (1 İş Günü)</t>
        </is>
      </c>
      <c r="E8" s="16" t="inlineStr">
        <is>
          <t>13:30</t>
        </is>
      </c>
      <c r="F8" s="16" t="inlineStr">
        <is>
          <t>%10 Stopaj</t>
        </is>
      </c>
      <c r="G8" s="36" t="n">
        <v>0.003</v>
      </c>
      <c r="H8" s="16" t="inlineStr">
        <is>
          <t>6 (Yüksek)</t>
        </is>
      </c>
      <c r="I8" s="45" t="n">
        <v>0.0629</v>
      </c>
      <c r="J8" s="46" t="n">
        <v>65079</v>
      </c>
    </row>
    <row r="9">
      <c r="A9" s="14" t="inlineStr">
        <is>
          <t>MAC</t>
        </is>
      </c>
      <c r="B9" s="15" t="inlineStr">
        <is>
          <t>Marmara Capital Portföy Hisse (TL)</t>
        </is>
      </c>
      <c r="C9" s="16" t="inlineStr">
        <is>
          <t>T+1 (1 İş Günü)</t>
        </is>
      </c>
      <c r="D9" s="16" t="inlineStr">
        <is>
          <t>T+2 (2 İş Günü)</t>
        </is>
      </c>
      <c r="E9" s="16" t="inlineStr">
        <is>
          <t>13:30</t>
        </is>
      </c>
      <c r="F9" s="16" t="inlineStr">
        <is>
          <t>%0 (Stopajsız Muaf)</t>
        </is>
      </c>
      <c r="G9" s="36" t="n">
        <v>0.027</v>
      </c>
      <c r="H9" s="16" t="inlineStr">
        <is>
          <t>6 (Yüksek)</t>
        </is>
      </c>
      <c r="I9" s="45" t="n">
        <v>0.384</v>
      </c>
      <c r="J9" s="46" t="n">
        <v>58200</v>
      </c>
    </row>
    <row r="10">
      <c r="A10" s="14" t="inlineStr">
        <is>
          <t>TP2</t>
        </is>
      </c>
      <c r="B10" s="15" t="inlineStr">
        <is>
          <t>Tera Portföy Para Piyasası (TL)</t>
        </is>
      </c>
      <c r="C10" s="16" t="inlineStr">
        <is>
          <t>T+0 (Aynı Gün)</t>
        </is>
      </c>
      <c r="D10" s="16" t="inlineStr">
        <is>
          <t>T+0 (Aynı Gün)</t>
        </is>
      </c>
      <c r="E10" s="16" t="inlineStr">
        <is>
          <t>13:30</t>
        </is>
      </c>
      <c r="F10" s="16" t="inlineStr">
        <is>
          <t>%10 Stopaj</t>
        </is>
      </c>
      <c r="G10" s="36" t="n">
        <v>0.01</v>
      </c>
      <c r="H10" s="16" t="inlineStr">
        <is>
          <t>1 (Düşük)</t>
        </is>
      </c>
      <c r="I10" s="45" t="n">
        <v>0.09030000000000001</v>
      </c>
      <c r="J10" s="46" t="n">
        <v>152140</v>
      </c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2026-08-15T23:44:57Z</dcterms:created>
  <dcterms:modified xmlns:dcterms="http://purl.org/dc/terms/" xmlns:xsi="http://www.w3.org/2001/XMLSchema-instance" xsi:type="dcterms:W3CDTF">2026-08-15T23:44:57Z</dcterms:modified>
</cp:coreProperties>
</file>